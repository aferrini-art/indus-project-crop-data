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er Indus Bas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00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/>
    </xf>
    <xf numFmtId="0" fontId="5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8" customWidth="1" min="4" max="4"/>
  </cols>
  <sheetData>
    <row r="1" ht="28" customHeight="1">
      <c r="A1" s="1" t="inlineStr">
        <is>
          <t>Lower Indus Basin – Polygon Coordinates (KML)</t>
        </is>
      </c>
    </row>
    <row r="2" ht="16" customHeight="1">
      <c r="A2" s="2" t="inlineStr">
        <is>
          <t>Source: Google My Maps KML export · CRS: WGS84 (EPSG:4326)</t>
        </is>
      </c>
    </row>
    <row r="3" ht="6" customHeight="1"/>
    <row r="4" ht="22" customHeight="1">
      <c r="A4" s="3" t="inlineStr">
        <is>
          <t>Point #</t>
        </is>
      </c>
      <c r="B4" s="3" t="inlineStr">
        <is>
          <t>Longitude (°E)</t>
        </is>
      </c>
      <c r="C4" s="3" t="inlineStr">
        <is>
          <t>Latitude (°N)</t>
        </is>
      </c>
      <c r="D4" s="3" t="inlineStr">
        <is>
          <t>Notes</t>
        </is>
      </c>
    </row>
    <row r="5">
      <c r="A5" s="4" t="n">
        <v>1</v>
      </c>
      <c r="B5" s="5" t="n">
        <v>67.69177235411564</v>
      </c>
      <c r="C5" s="5" t="n">
        <v>23.9608697344795</v>
      </c>
      <c r="D5" s="6" t="inlineStr">
        <is>
          <t>Opening point</t>
        </is>
      </c>
    </row>
    <row r="6">
      <c r="A6" s="7" t="n">
        <v>2</v>
      </c>
      <c r="B6" s="8" t="n">
        <v>68.01543668658904</v>
      </c>
      <c r="C6" s="8" t="n">
        <v>24.65806077968841</v>
      </c>
      <c r="D6" s="9" t="inlineStr"/>
    </row>
    <row r="7">
      <c r="A7" s="10" t="n">
        <v>3</v>
      </c>
      <c r="B7" s="11" t="n">
        <v>68.42848083761469</v>
      </c>
      <c r="C7" s="11" t="n">
        <v>25.10460255319422</v>
      </c>
      <c r="D7" s="12" t="inlineStr"/>
    </row>
    <row r="8">
      <c r="A8" s="7" t="n">
        <v>4</v>
      </c>
      <c r="B8" s="8" t="n">
        <v>68.61259155055967</v>
      </c>
      <c r="C8" s="8" t="n">
        <v>25.65133176824144</v>
      </c>
      <c r="D8" s="9" t="inlineStr"/>
    </row>
    <row r="9">
      <c r="A9" s="10" t="n">
        <v>5</v>
      </c>
      <c r="B9" s="11" t="n">
        <v>68.11768226671248</v>
      </c>
      <c r="C9" s="11" t="n">
        <v>26.23258152357704</v>
      </c>
      <c r="D9" s="12" t="inlineStr"/>
    </row>
    <row r="10">
      <c r="A10" s="7" t="n">
        <v>6</v>
      </c>
      <c r="B10" s="8" t="n">
        <v>68.30322362023055</v>
      </c>
      <c r="C10" s="8" t="n">
        <v>26.61020682839154</v>
      </c>
      <c r="D10" s="9" t="inlineStr"/>
    </row>
    <row r="11">
      <c r="A11" s="10" t="n">
        <v>7</v>
      </c>
      <c r="B11" s="11" t="n">
        <v>68.60512736302633</v>
      </c>
      <c r="C11" s="11" t="n">
        <v>27.15683206887287</v>
      </c>
      <c r="D11" s="12" t="inlineStr"/>
    </row>
    <row r="12">
      <c r="A12" s="7" t="n">
        <v>8</v>
      </c>
      <c r="B12" s="8" t="n">
        <v>68.85127576704663</v>
      </c>
      <c r="C12" s="8" t="n">
        <v>27.69042979656564</v>
      </c>
      <c r="D12" s="9" t="inlineStr"/>
    </row>
    <row r="13">
      <c r="A13" s="10" t="n">
        <v>9</v>
      </c>
      <c r="B13" s="11" t="n">
        <v>68.90837372657506</v>
      </c>
      <c r="C13" s="11" t="n">
        <v>28.1858478322988</v>
      </c>
      <c r="D13" s="12" t="inlineStr"/>
    </row>
    <row r="14">
      <c r="A14" s="7" t="n">
        <v>10</v>
      </c>
      <c r="B14" s="8" t="n">
        <v>69.61646050796129</v>
      </c>
      <c r="C14" s="8" t="n">
        <v>28.30184473031471</v>
      </c>
      <c r="D14" s="9" t="inlineStr"/>
    </row>
    <row r="15">
      <c r="A15" s="10" t="n">
        <v>11</v>
      </c>
      <c r="B15" s="11" t="n">
        <v>70.68414805703878</v>
      </c>
      <c r="C15" s="11" t="n">
        <v>28.97186814204213</v>
      </c>
      <c r="D15" s="12" t="inlineStr"/>
    </row>
    <row r="16">
      <c r="A16" s="7" t="n">
        <v>12</v>
      </c>
      <c r="B16" s="8" t="n">
        <v>71.15142523692737</v>
      </c>
      <c r="C16" s="8" t="n">
        <v>29.53902972537065</v>
      </c>
      <c r="D16" s="9" t="inlineStr"/>
    </row>
    <row r="17">
      <c r="A17" s="10" t="n">
        <v>13</v>
      </c>
      <c r="B17" s="11" t="n">
        <v>71.55946843593399</v>
      </c>
      <c r="C17" s="11" t="n">
        <v>29.62811233875756</v>
      </c>
      <c r="D17" s="12" t="inlineStr"/>
    </row>
    <row r="18">
      <c r="A18" s="7" t="n">
        <v>14</v>
      </c>
      <c r="B18" s="8" t="n">
        <v>72.69881210214709</v>
      </c>
      <c r="C18" s="8" t="n">
        <v>29.89925651140601</v>
      </c>
      <c r="D18" s="9" t="inlineStr"/>
    </row>
    <row r="19">
      <c r="A19" s="10" t="n">
        <v>15</v>
      </c>
      <c r="B19" s="11" t="n">
        <v>73.50301416728077</v>
      </c>
      <c r="C19" s="11" t="n">
        <v>30.06779395282467</v>
      </c>
      <c r="D19" s="12" t="inlineStr"/>
    </row>
    <row r="20">
      <c r="A20" s="7" t="n">
        <v>16</v>
      </c>
      <c r="B20" s="8" t="n">
        <v>76.30545782780059</v>
      </c>
      <c r="C20" s="8" t="n">
        <v>30.73715240443906</v>
      </c>
      <c r="D20" s="9" t="inlineStr"/>
    </row>
    <row r="21">
      <c r="A21" s="10" t="n">
        <v>17</v>
      </c>
      <c r="B21" s="11" t="n">
        <v>76.85502510838957</v>
      </c>
      <c r="C21" s="11" t="n">
        <v>30.88192617266955</v>
      </c>
      <c r="D21" s="12" t="inlineStr"/>
    </row>
    <row r="22">
      <c r="A22" s="7" t="n">
        <v>18</v>
      </c>
      <c r="B22" s="8" t="n">
        <v>75.65589482868728</v>
      </c>
      <c r="C22" s="8" t="n">
        <v>32.15826332848854</v>
      </c>
      <c r="D22" s="9" t="inlineStr"/>
    </row>
    <row r="23">
      <c r="A23" s="10" t="n">
        <v>19</v>
      </c>
      <c r="B23" s="11" t="n">
        <v>74.89134004557872</v>
      </c>
      <c r="C23" s="11" t="n">
        <v>32.62177450341571</v>
      </c>
      <c r="D23" s="12" t="inlineStr"/>
    </row>
    <row r="24">
      <c r="A24" s="7" t="n">
        <v>20</v>
      </c>
      <c r="B24" s="8" t="n">
        <v>73.89979786409161</v>
      </c>
      <c r="C24" s="8" t="n">
        <v>33.26937003940574</v>
      </c>
      <c r="D24" s="9" t="inlineStr"/>
    </row>
    <row r="25">
      <c r="A25" s="10" t="n">
        <v>21</v>
      </c>
      <c r="B25" s="11" t="n">
        <v>73.48664206939218</v>
      </c>
      <c r="C25" s="11" t="n">
        <v>33.74858677626433</v>
      </c>
      <c r="D25" s="12" t="inlineStr"/>
    </row>
    <row r="26">
      <c r="A26" s="7" t="n">
        <v>22</v>
      </c>
      <c r="B26" s="8" t="n">
        <v>72.8248587155534</v>
      </c>
      <c r="C26" s="8" t="n">
        <v>34.09617195219852</v>
      </c>
      <c r="D26" s="9" t="inlineStr"/>
    </row>
    <row r="27">
      <c r="A27" s="10" t="n">
        <v>23</v>
      </c>
      <c r="B27" s="11" t="n">
        <v>72.17723718501847</v>
      </c>
      <c r="C27" s="11" t="n">
        <v>34.18059643201199</v>
      </c>
      <c r="D27" s="12" t="inlineStr"/>
    </row>
    <row r="28">
      <c r="A28" s="7" t="n">
        <v>24</v>
      </c>
      <c r="B28" s="8" t="n">
        <v>71.21467201966858</v>
      </c>
      <c r="C28" s="8" t="n">
        <v>34.39993518725041</v>
      </c>
      <c r="D28" s="9" t="inlineStr"/>
    </row>
    <row r="29">
      <c r="A29" s="10" t="n">
        <v>25</v>
      </c>
      <c r="B29" s="11" t="n">
        <v>70.42319203705142</v>
      </c>
      <c r="C29" s="11" t="n">
        <v>34.49400082451425</v>
      </c>
      <c r="D29" s="12" t="inlineStr"/>
    </row>
    <row r="30">
      <c r="A30" s="7" t="n">
        <v>26</v>
      </c>
      <c r="B30" s="8" t="n">
        <v>69.81897012017274</v>
      </c>
      <c r="C30" s="8" t="n">
        <v>34.8328217746129</v>
      </c>
      <c r="D30" s="9" t="inlineStr"/>
    </row>
    <row r="31">
      <c r="A31" s="10" t="n">
        <v>27</v>
      </c>
      <c r="B31" s="11" t="n">
        <v>69.02209347771021</v>
      </c>
      <c r="C31" s="11" t="n">
        <v>34.81661825668932</v>
      </c>
      <c r="D31" s="12" t="inlineStr"/>
    </row>
    <row r="32">
      <c r="A32" s="7" t="n">
        <v>28</v>
      </c>
      <c r="B32" s="8" t="n">
        <v>68.54180103019944</v>
      </c>
      <c r="C32" s="8" t="n">
        <v>34.4420982470839</v>
      </c>
      <c r="D32" s="9" t="inlineStr"/>
    </row>
    <row r="33">
      <c r="A33" s="10" t="n">
        <v>29</v>
      </c>
      <c r="B33" s="11" t="n">
        <v>68.74082660122014</v>
      </c>
      <c r="C33" s="11" t="n">
        <v>33.7801546274303</v>
      </c>
      <c r="D33" s="12" t="inlineStr"/>
    </row>
    <row r="34">
      <c r="A34" s="7" t="n">
        <v>30</v>
      </c>
      <c r="B34" s="8" t="n">
        <v>69.6525901308564</v>
      </c>
      <c r="C34" s="8" t="n">
        <v>33.72951627697794</v>
      </c>
      <c r="D34" s="9" t="inlineStr"/>
    </row>
    <row r="35">
      <c r="A35" s="10" t="n">
        <v>31</v>
      </c>
      <c r="B35" s="11" t="n">
        <v>69.13609969887864</v>
      </c>
      <c r="C35" s="11" t="n">
        <v>32.32562917783506</v>
      </c>
      <c r="D35" s="12" t="inlineStr"/>
    </row>
    <row r="36">
      <c r="A36" s="7" t="n">
        <v>32</v>
      </c>
      <c r="B36" s="8" t="n">
        <v>68.47140110227937</v>
      </c>
      <c r="C36" s="8" t="n">
        <v>31.00138966864399</v>
      </c>
      <c r="D36" s="9" t="inlineStr"/>
    </row>
    <row r="37">
      <c r="A37" s="10" t="n">
        <v>33</v>
      </c>
      <c r="B37" s="11" t="n">
        <v>67.95953135326799</v>
      </c>
      <c r="C37" s="11" t="n">
        <v>29.92180645775669</v>
      </c>
      <c r="D37" s="12" t="inlineStr"/>
    </row>
    <row r="38">
      <c r="A38" s="7" t="n">
        <v>34</v>
      </c>
      <c r="B38" s="8" t="n">
        <v>67.52121957784112</v>
      </c>
      <c r="C38" s="8" t="n">
        <v>29.32147802508537</v>
      </c>
      <c r="D38" s="9" t="inlineStr"/>
    </row>
    <row r="39">
      <c r="A39" s="10" t="n">
        <v>35</v>
      </c>
      <c r="B39" s="11" t="n">
        <v>67.23121668404487</v>
      </c>
      <c r="C39" s="11" t="n">
        <v>28.51973338470107</v>
      </c>
      <c r="D39" s="12" t="inlineStr"/>
    </row>
    <row r="40">
      <c r="A40" s="7" t="n">
        <v>36</v>
      </c>
      <c r="B40" s="8" t="n">
        <v>67.02658874152192</v>
      </c>
      <c r="C40" s="8" t="n">
        <v>27.957732121635</v>
      </c>
      <c r="D40" s="9" t="inlineStr"/>
    </row>
    <row r="41">
      <c r="A41" s="10" t="n">
        <v>37</v>
      </c>
      <c r="B41" s="11" t="n">
        <v>66.77580670731162</v>
      </c>
      <c r="C41" s="11" t="n">
        <v>27.28144862091944</v>
      </c>
      <c r="D41" s="12" t="inlineStr"/>
    </row>
    <row r="42">
      <c r="A42" s="7" t="n">
        <v>38</v>
      </c>
      <c r="B42" s="8" t="n">
        <v>66.96733780215817</v>
      </c>
      <c r="C42" s="8" t="n">
        <v>26.52520420644605</v>
      </c>
      <c r="D42" s="9" t="inlineStr"/>
    </row>
    <row r="43">
      <c r="A43" s="10" t="n">
        <v>39</v>
      </c>
      <c r="B43" s="11" t="n">
        <v>67.17644055532396</v>
      </c>
      <c r="C43" s="11" t="n">
        <v>25.97074226188276</v>
      </c>
      <c r="D43" s="12" t="inlineStr"/>
    </row>
    <row r="44">
      <c r="A44" s="7" t="n">
        <v>40</v>
      </c>
      <c r="B44" s="8" t="n">
        <v>67.21499342423483</v>
      </c>
      <c r="C44" s="8" t="n">
        <v>25.37423448801296</v>
      </c>
      <c r="D44" s="9" t="inlineStr"/>
    </row>
    <row r="45">
      <c r="A45" s="10" t="n">
        <v>41</v>
      </c>
      <c r="B45" s="11" t="n">
        <v>67.30664083260869</v>
      </c>
      <c r="C45" s="11" t="n">
        <v>24.86532628665762</v>
      </c>
      <c r="D45" s="12" t="inlineStr"/>
    </row>
    <row r="46">
      <c r="A46" s="4" t="n">
        <v>42</v>
      </c>
      <c r="B46" s="5" t="n">
        <v>67.69177235411564</v>
      </c>
      <c r="C46" s="5" t="n">
        <v>23.9608697344795</v>
      </c>
      <c r="D46" s="6" t="inlineStr">
        <is>
          <t>Closing point (= Point 1)</t>
        </is>
      </c>
    </row>
    <row r="48">
      <c r="A48" s="13" t="inlineStr">
        <is>
          <t>Statistics</t>
        </is>
      </c>
    </row>
    <row r="49">
      <c r="A49" s="14" t="inlineStr">
        <is>
          <t>Total vertices</t>
        </is>
      </c>
      <c r="B49" s="15">
        <f>COUNTA(A5:A46)-1</f>
        <v/>
      </c>
    </row>
    <row r="50">
      <c r="A50" s="14" t="inlineStr">
        <is>
          <t>Min Longitude</t>
        </is>
      </c>
      <c r="B50" s="15">
        <f>MIN(B5:B46)</f>
        <v/>
      </c>
    </row>
    <row r="51">
      <c r="A51" s="14" t="inlineStr">
        <is>
          <t>Max Longitude</t>
        </is>
      </c>
      <c r="B51" s="15">
        <f>MAX(B5:B46)</f>
        <v/>
      </c>
    </row>
    <row r="52">
      <c r="A52" s="14" t="inlineStr">
        <is>
          <t>Min Latitude</t>
        </is>
      </c>
      <c r="B52" s="15">
        <f>MIN(C5:C46)</f>
        <v/>
      </c>
    </row>
    <row r="53">
      <c r="A53" s="14" t="inlineStr">
        <is>
          <t>Max Latitude</t>
        </is>
      </c>
      <c r="B53" s="15">
        <f>MAX(C5:C46)</f>
        <v/>
      </c>
    </row>
  </sheetData>
  <mergeCells count="3">
    <mergeCell ref="A1:D1"/>
    <mergeCell ref="A48:D48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2026-03-29T15:37:40Z</dcterms:created>
  <dcterms:modified xmlns:dcterms="http://purl.org/dc/terms/" xmlns:xsi="http://www.w3.org/2001/XMLSchema-instance" xsi:type="dcterms:W3CDTF">2026-03-29T15:37:40Z</dcterms:modified>
</cp:coreProperties>
</file>